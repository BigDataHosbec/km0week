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jamien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D8F98"/>
      <sz val="9"/>
    </font>
  </fonts>
  <fills count="3">
    <fill>
      <patternFill/>
    </fill>
    <fill>
      <patternFill patternType="gray125"/>
    </fill>
    <fill>
      <patternFill patternType="solid">
        <fgColor rgb="00123C4C"/>
      </patternFill>
    </fill>
  </fills>
  <borders count="2">
    <border>
      <left/>
      <right/>
      <top/>
      <bottom/>
      <diagonal/>
    </border>
    <border>
      <bottom style="thin">
        <color rgb="00E4E9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13" customWidth="1" min="8" max="8"/>
    <col width="11" customWidth="1" min="9" max="9"/>
    <col width="26" customWidth="1" min="10" max="10"/>
    <col width="15" customWidth="1" min="11" max="11"/>
    <col width="30" customWidth="1" min="12" max="12"/>
    <col width="40" customWidth="1" min="13" max="13"/>
    <col width="34" customWidth="1" min="14" max="14"/>
  </cols>
  <sheetData>
    <row r="1" ht="30" customHeight="1">
      <c r="A1" s="1" t="inlineStr">
        <is>
          <t>Nombre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Municipio</t>
        </is>
      </c>
      <c r="E1" s="1" t="inlineStr">
        <is>
          <t>Provincia</t>
        </is>
      </c>
      <c r="F1" s="1" t="inlineStr">
        <is>
          <t>Plazas comprometidas</t>
        </is>
      </c>
      <c r="G1" s="1" t="inlineStr">
        <is>
          <t>Precio desde (€)</t>
        </is>
      </c>
      <c r="H1" s="1" t="inlineStr">
        <is>
          <t>Precio habitual (€)</t>
        </is>
      </c>
      <c r="I1" s="1" t="inlineStr">
        <is>
          <t>Descuento (%)</t>
        </is>
      </c>
      <c r="J1" s="1" t="inlineStr">
        <is>
          <t>Unidad</t>
        </is>
      </c>
      <c r="K1" s="1" t="inlineStr">
        <is>
          <t>Teléfono</t>
        </is>
      </c>
      <c r="L1" s="1" t="inlineStr">
        <is>
          <t>Web</t>
        </is>
      </c>
      <c r="M1" s="1" t="inlineStr">
        <is>
          <t>Experiencias</t>
        </is>
      </c>
      <c r="N1" s="1" t="inlineStr">
        <is>
          <t>Oferta</t>
        </is>
      </c>
    </row>
    <row r="2">
      <c r="A2" s="2" t="inlineStr">
        <is>
          <t>Almadraba Suites &amp; Rooftop</t>
        </is>
      </c>
      <c r="B2" s="2" t="inlineStr">
        <is>
          <t>Hotel</t>
        </is>
      </c>
      <c r="C2" s="2" t="n">
        <v>4</v>
      </c>
      <c r="D2" s="2" t="inlineStr">
        <is>
          <t>Alicante</t>
        </is>
      </c>
      <c r="E2" s="2" t="inlineStr">
        <is>
          <t>Alicante</t>
        </is>
      </c>
      <c r="F2" s="3" t="n">
        <v>18</v>
      </c>
      <c r="G2" s="4" t="n">
        <v>109</v>
      </c>
      <c r="H2" s="4" t="n">
        <v>179</v>
      </c>
      <c r="I2" s="5" t="n">
        <v>39</v>
      </c>
      <c r="J2" s="2" t="inlineStr">
        <is>
          <t>por noche / hab. doble</t>
        </is>
      </c>
      <c r="K2" s="2" t="inlineStr">
        <is>
          <t>965 00 01 02</t>
        </is>
      </c>
      <c r="L2" s="2" t="inlineStr">
        <is>
          <t>https://hosbec.com</t>
        </is>
      </c>
      <c r="M2" s="6" t="inlineStr">
        <is>
          <t>Cultura y pueblos, Gastronomía, De noche</t>
        </is>
      </c>
      <c r="N2" s="6" t="inlineStr">
        <is>
          <t>Turista en tu ciudad: 24 h de Alicante</t>
        </is>
      </c>
    </row>
    <row r="3">
      <c r="A3" s="2" t="inlineStr">
        <is>
          <t>Casa Altea la Vella</t>
        </is>
      </c>
      <c r="B3" s="2" t="inlineStr">
        <is>
          <t>Casa rural</t>
        </is>
      </c>
      <c r="C3" s="2" t="n">
        <v>3</v>
      </c>
      <c r="D3" s="2" t="inlineStr">
        <is>
          <t>Altea</t>
        </is>
      </c>
      <c r="E3" s="2" t="inlineStr">
        <is>
          <t>Alicante</t>
        </is>
      </c>
      <c r="F3" s="3" t="n">
        <v>6</v>
      </c>
      <c r="G3" s="4" t="n">
        <v>92</v>
      </c>
      <c r="H3" s="4" t="n">
        <v>145</v>
      </c>
      <c r="I3" s="5" t="n">
        <v>36</v>
      </c>
      <c r="J3" s="2" t="inlineStr">
        <is>
          <t>por noche / hab. doble</t>
        </is>
      </c>
      <c r="K3" s="2" t="inlineStr">
        <is>
          <t>965 00 01 06</t>
        </is>
      </c>
      <c r="L3" s="2" t="inlineStr">
        <is>
          <t>https://hosbec.com</t>
        </is>
      </c>
      <c r="M3" s="6" t="inlineStr">
        <is>
          <t>Cultura y pueblos, Sostenible, En pareja, Gastronomía</t>
        </is>
      </c>
      <c r="N3" s="6" t="inlineStr">
        <is>
          <t>Manos en el barro</t>
        </is>
      </c>
    </row>
    <row r="4">
      <c r="A4" s="2" t="inlineStr">
        <is>
          <t>Gran Hotel Mirador de Poniente</t>
        </is>
      </c>
      <c r="B4" s="2" t="inlineStr">
        <is>
          <t>Hotel</t>
        </is>
      </c>
      <c r="C4" s="2" t="n">
        <v>4</v>
      </c>
      <c r="D4" s="2" t="inlineStr">
        <is>
          <t>Benidorm</t>
        </is>
      </c>
      <c r="E4" s="2" t="inlineStr">
        <is>
          <t>Alicante</t>
        </is>
      </c>
      <c r="F4" s="3" t="n">
        <v>35</v>
      </c>
      <c r="G4" s="4" t="n">
        <v>96</v>
      </c>
      <c r="H4" s="4" t="n">
        <v>168</v>
      </c>
      <c r="I4" s="5" t="n">
        <v>43</v>
      </c>
      <c r="J4" s="2" t="inlineStr">
        <is>
          <t>por noche / hab. doble</t>
        </is>
      </c>
      <c r="K4" s="2" t="inlineStr">
        <is>
          <t>965 00 01 01</t>
        </is>
      </c>
      <c r="L4" s="2" t="inlineStr">
        <is>
          <t>https://hosbec.com</t>
        </is>
      </c>
      <c r="M4" s="6" t="inlineStr">
        <is>
          <t>Gastronomía, Junto al mar, En pareja</t>
        </is>
      </c>
      <c r="N4" s="6" t="inlineStr">
        <is>
          <t>Noche de vecino + cena en la terraza 20</t>
        </is>
      </c>
    </row>
    <row r="5">
      <c r="A5" s="2" t="inlineStr">
        <is>
          <t>Hotel Penyal d'Ifac</t>
        </is>
      </c>
      <c r="B5" s="2" t="inlineStr">
        <is>
          <t>Hotel</t>
        </is>
      </c>
      <c r="C5" s="2" t="n">
        <v>4</v>
      </c>
      <c r="D5" s="2" t="inlineStr">
        <is>
          <t>Calpe</t>
        </is>
      </c>
      <c r="E5" s="2" t="inlineStr">
        <is>
          <t>Alicante</t>
        </is>
      </c>
      <c r="F5" s="3" t="n">
        <v>24</v>
      </c>
      <c r="G5" s="4" t="n">
        <v>84</v>
      </c>
      <c r="H5" s="4" t="n">
        <v>139</v>
      </c>
      <c r="I5" s="5" t="n">
        <v>40</v>
      </c>
      <c r="J5" s="2" t="inlineStr">
        <is>
          <t>por noche / hab. doble</t>
        </is>
      </c>
      <c r="K5" s="2" t="inlineStr">
        <is>
          <t>965 00 01 04</t>
        </is>
      </c>
      <c r="L5" s="2" t="inlineStr">
        <is>
          <t>https://hosbec.com</t>
        </is>
      </c>
      <c r="M5" s="6" t="inlineStr">
        <is>
          <t>Junto al mar, Sostenible, En familia</t>
        </is>
      </c>
      <c r="N5" s="6" t="inlineStr">
        <is>
          <t>Flamencos al amanecer</t>
        </is>
      </c>
    </row>
    <row r="6">
      <c r="A6" s="2" t="inlineStr">
        <is>
          <t>Apartamentos Marina Alta</t>
        </is>
      </c>
      <c r="B6" s="2" t="inlineStr">
        <is>
          <t>Apartamentos</t>
        </is>
      </c>
      <c r="C6" s="2" t="n">
        <v>3</v>
      </c>
      <c r="D6" s="2" t="inlineStr">
        <is>
          <t>Dénia</t>
        </is>
      </c>
      <c r="E6" s="2" t="inlineStr">
        <is>
          <t>Alicante</t>
        </is>
      </c>
      <c r="F6" s="3" t="n">
        <v>12</v>
      </c>
      <c r="G6" s="4" t="n">
        <v>79</v>
      </c>
      <c r="H6" s="4" t="n">
        <v>125</v>
      </c>
      <c r="I6" s="5" t="n">
        <v>37</v>
      </c>
      <c r="J6" s="2" t="inlineStr">
        <is>
          <t>por noche / hasta 4 personas</t>
        </is>
      </c>
      <c r="K6" s="2" t="inlineStr">
        <is>
          <t>965 00 01 05</t>
        </is>
      </c>
      <c r="L6" s="2" t="inlineStr">
        <is>
          <t>https://hosbec.com</t>
        </is>
      </c>
      <c r="M6" s="6" t="inlineStr">
        <is>
          <t>Gastronomía, En familia, Junto al mar</t>
        </is>
      </c>
      <c r="N6" s="6" t="inlineStr">
        <is>
          <t>De la lonja a tu fuego</t>
        </is>
      </c>
    </row>
    <row r="7">
      <c r="A7" s="2" t="inlineStr">
        <is>
          <t>Hotel Palmeral d'Elx</t>
        </is>
      </c>
      <c r="B7" s="2" t="inlineStr">
        <is>
          <t>Hotel</t>
        </is>
      </c>
      <c r="C7" s="2" t="n">
        <v>4</v>
      </c>
      <c r="D7" s="2" t="inlineStr">
        <is>
          <t>Elche</t>
        </is>
      </c>
      <c r="E7" s="2" t="inlineStr">
        <is>
          <t>Alicante</t>
        </is>
      </c>
      <c r="F7" s="3" t="n">
        <v>30</v>
      </c>
      <c r="G7" s="4" t="n">
        <v>72</v>
      </c>
      <c r="H7" s="4" t="n">
        <v>115</v>
      </c>
      <c r="I7" s="5" t="n">
        <v>37</v>
      </c>
      <c r="J7" s="2" t="inlineStr">
        <is>
          <t>por noche / hab. doble</t>
        </is>
      </c>
      <c r="K7" s="2" t="inlineStr">
        <is>
          <t>965 00 01 07</t>
        </is>
      </c>
      <c r="L7" s="2" t="inlineStr">
        <is>
          <t>https://hosbec.com</t>
        </is>
      </c>
      <c r="M7" s="6" t="inlineStr">
        <is>
          <t>Cultura y pueblos, En familia, Sostenible</t>
        </is>
      </c>
      <c r="N7" s="6" t="inlineStr">
        <is>
          <t>Noche en el palmeral</t>
        </is>
      </c>
    </row>
    <row r="8">
      <c r="A8" s="2" t="inlineStr">
        <is>
          <t>Camping Dunas de Guardamar</t>
        </is>
      </c>
      <c r="B8" s="2" t="inlineStr">
        <is>
          <t>Camping</t>
        </is>
      </c>
      <c r="C8" s="2" t="n">
        <v>3</v>
      </c>
      <c r="D8" s="2" t="inlineStr">
        <is>
          <t>Guardamar del Segura</t>
        </is>
      </c>
      <c r="E8" s="2" t="inlineStr">
        <is>
          <t>Alicante</t>
        </is>
      </c>
      <c r="F8" s="3" t="n">
        <v>20</v>
      </c>
      <c r="G8" s="4" t="n">
        <v>58</v>
      </c>
      <c r="H8" s="4" t="n">
        <v>92</v>
      </c>
      <c r="I8" s="5" t="n">
        <v>37</v>
      </c>
      <c r="J8" s="2" t="inlineStr">
        <is>
          <t>por noche / bungalow 4 pax</t>
        </is>
      </c>
      <c r="K8" s="2" t="inlineStr">
        <is>
          <t>965 00 01 08</t>
        </is>
      </c>
      <c r="L8" s="2" t="inlineStr">
        <is>
          <t>https://hosbec.com</t>
        </is>
      </c>
      <c r="M8" s="6" t="inlineStr">
        <is>
          <t>En familia, Naturaleza y deporte, Sostenible, Con mascota</t>
        </is>
      </c>
      <c r="N8" s="6" t="inlineStr">
        <is>
          <t>Bungalow bajo las estrellas</t>
        </is>
      </c>
    </row>
    <row r="9">
      <c r="A9" s="2" t="inlineStr">
        <is>
          <t>Hotel Salinas de Torrevieja</t>
        </is>
      </c>
      <c r="B9" s="2" t="inlineStr">
        <is>
          <t>Hotel</t>
        </is>
      </c>
      <c r="C9" s="2" t="n">
        <v>3</v>
      </c>
      <c r="D9" s="2" t="inlineStr">
        <is>
          <t>Torrevieja</t>
        </is>
      </c>
      <c r="E9" s="2" t="inlineStr">
        <is>
          <t>Alicante</t>
        </is>
      </c>
      <c r="F9" s="3" t="n">
        <v>45</v>
      </c>
      <c r="G9" s="4" t="n">
        <v>62</v>
      </c>
      <c r="H9" s="4" t="n">
        <v>99</v>
      </c>
      <c r="I9" s="5" t="n">
        <v>37</v>
      </c>
      <c r="J9" s="2" t="inlineStr">
        <is>
          <t>por noche / hab. doble</t>
        </is>
      </c>
      <c r="K9" s="2" t="inlineStr">
        <is>
          <t>965 00 01 10</t>
        </is>
      </c>
      <c r="L9" s="2" t="inlineStr">
        <is>
          <t>https://hosbec.com</t>
        </is>
      </c>
      <c r="M9" s="6" t="inlineStr">
        <is>
          <t>Bienestar, Cultura y pueblos, Junto al mar, Accesible</t>
        </is>
      </c>
      <c r="N9" s="6" t="inlineStr">
        <is>
          <t>Flotar en rosa</t>
        </is>
      </c>
    </row>
    <row r="10">
      <c r="A10" s="2" t="inlineStr">
        <is>
          <t>Balneario Serra Gelada</t>
        </is>
      </c>
      <c r="B10" s="2" t="inlineStr">
        <is>
          <t>Balneario</t>
        </is>
      </c>
      <c r="C10" s="2" t="n">
        <v>5</v>
      </c>
      <c r="D10" s="2" t="inlineStr">
        <is>
          <t>Villajoyosa</t>
        </is>
      </c>
      <c r="E10" s="2" t="inlineStr">
        <is>
          <t>Alicante</t>
        </is>
      </c>
      <c r="F10" s="3" t="n">
        <v>40</v>
      </c>
      <c r="G10" s="4" t="n">
        <v>65</v>
      </c>
      <c r="H10" s="4" t="n">
        <v>120</v>
      </c>
      <c r="I10" s="5" t="n">
        <v>46</v>
      </c>
      <c r="J10" s="2" t="inlineStr">
        <is>
          <t>por persona / sin alojamiento</t>
        </is>
      </c>
      <c r="K10" s="2" t="inlineStr">
        <is>
          <t>965 00 01 03</t>
        </is>
      </c>
      <c r="L10" s="2" t="inlineStr">
        <is>
          <t>https://hosbec.com</t>
        </is>
      </c>
      <c r="M10" s="6" t="inlineStr">
        <is>
          <t>Bienestar, Gastronomía, Junto al mar</t>
        </is>
      </c>
      <c r="N10" s="6" t="inlineStr">
        <is>
          <t>Ritual Km0: mar, sal y chocolate</t>
        </is>
      </c>
    </row>
    <row r="11">
      <c r="A11" s="2" t="inlineStr">
        <is>
          <t>Hotel Cap de la Nau</t>
        </is>
      </c>
      <c r="B11" s="2" t="inlineStr">
        <is>
          <t>Hotel</t>
        </is>
      </c>
      <c r="C11" s="2" t="n">
        <v>4</v>
      </c>
      <c r="D11" s="2" t="inlineStr">
        <is>
          <t>Xàbia</t>
        </is>
      </c>
      <c r="E11" s="2" t="inlineStr">
        <is>
          <t>Alicante</t>
        </is>
      </c>
      <c r="F11" s="3" t="n">
        <v>22</v>
      </c>
      <c r="G11" s="4" t="n">
        <v>98</v>
      </c>
      <c r="H11" s="4" t="n">
        <v>165</v>
      </c>
      <c r="I11" s="5" t="n">
        <v>41</v>
      </c>
      <c r="J11" s="2" t="inlineStr">
        <is>
          <t>por noche / hab. doble</t>
        </is>
      </c>
      <c r="K11" s="2" t="inlineStr">
        <is>
          <t>965 00 01 09</t>
        </is>
      </c>
      <c r="L11" s="2" t="inlineStr">
        <is>
          <t>https://hosbec.com</t>
        </is>
      </c>
      <c r="M11" s="6" t="inlineStr">
        <is>
          <t>Junto al mar, Naturaleza y deporte, En pareja</t>
        </is>
      </c>
      <c r="N11" s="6" t="inlineStr">
        <is>
          <t>Última calas del año</t>
        </is>
      </c>
    </row>
    <row r="12">
      <c r="A12" s="2" t="inlineStr">
        <is>
          <t>Alcossebre Family Resort</t>
        </is>
      </c>
      <c r="B12" s="2" t="inlineStr">
        <is>
          <t>Apartamentos</t>
        </is>
      </c>
      <c r="C12" s="2" t="n">
        <v>4</v>
      </c>
      <c r="D12" s="2" t="inlineStr">
        <is>
          <t>Alcossebre</t>
        </is>
      </c>
      <c r="E12" s="2" t="inlineStr">
        <is>
          <t>Castelló</t>
        </is>
      </c>
      <c r="F12" s="3" t="n">
        <v>25</v>
      </c>
      <c r="G12" s="4" t="n">
        <v>82</v>
      </c>
      <c r="H12" s="4" t="n">
        <v>138</v>
      </c>
      <c r="I12" s="5" t="n">
        <v>41</v>
      </c>
      <c r="J12" s="2" t="inlineStr">
        <is>
          <t>por noche / familia de 4</t>
        </is>
      </c>
      <c r="K12" s="2" t="inlineStr">
        <is>
          <t>964 00 01 19</t>
        </is>
      </c>
      <c r="L12" s="2" t="inlineStr">
        <is>
          <t>https://hosbec.com</t>
        </is>
      </c>
      <c r="M12" s="6" t="inlineStr">
        <is>
          <t>En familia, Naturaleza y deporte, Junto al mar, Sostenible</t>
        </is>
      </c>
      <c r="N12" s="6" t="inlineStr">
        <is>
          <t>Fin de semana de familia (de verdad)</t>
        </is>
      </c>
    </row>
    <row r="13">
      <c r="A13" s="2" t="inlineStr">
        <is>
          <t>Villa Benicàssim Rooms</t>
        </is>
      </c>
      <c r="B13" s="2" t="inlineStr">
        <is>
          <t>Hotel</t>
        </is>
      </c>
      <c r="C13" s="2" t="n">
        <v>3</v>
      </c>
      <c r="D13" s="2" t="inlineStr">
        <is>
          <t>Benicàssim</t>
        </is>
      </c>
      <c r="E13" s="2" t="inlineStr">
        <is>
          <t>Castelló</t>
        </is>
      </c>
      <c r="F13" s="3" t="n">
        <v>9</v>
      </c>
      <c r="G13" s="4" t="n">
        <v>66</v>
      </c>
      <c r="H13" s="4" t="n">
        <v>105</v>
      </c>
      <c r="I13" s="5" t="n">
        <v>37</v>
      </c>
      <c r="J13" s="2" t="inlineStr">
        <is>
          <t>por noche / hab. doble</t>
        </is>
      </c>
      <c r="K13" s="2" t="inlineStr">
        <is>
          <t>964 00 01 17</t>
        </is>
      </c>
      <c r="L13" s="2" t="inlineStr">
        <is>
          <t>https://hosbec.com</t>
        </is>
      </c>
      <c r="M13" s="6" t="inlineStr">
        <is>
          <t>Naturaleza y deporte, Cultura y pueblos, Gastronomía, Junto al mar</t>
        </is>
      </c>
      <c r="N13" s="6" t="inlineStr">
        <is>
          <t>Vía Verde y vermut</t>
        </is>
      </c>
    </row>
    <row r="14">
      <c r="A14" s="2" t="inlineStr">
        <is>
          <t>Hotel Grau de Castelló</t>
        </is>
      </c>
      <c r="B14" s="2" t="inlineStr">
        <is>
          <t>Hotel</t>
        </is>
      </c>
      <c r="C14" s="2" t="n">
        <v>3</v>
      </c>
      <c r="D14" s="2" t="inlineStr">
        <is>
          <t>Castelló de la Plana</t>
        </is>
      </c>
      <c r="E14" s="2" t="inlineStr">
        <is>
          <t>Castelló</t>
        </is>
      </c>
      <c r="F14" s="3" t="n">
        <v>32</v>
      </c>
      <c r="G14" s="4" t="n">
        <v>59</v>
      </c>
      <c r="H14" s="4" t="n">
        <v>95</v>
      </c>
      <c r="I14" s="5" t="n">
        <v>38</v>
      </c>
      <c r="J14" s="2" t="inlineStr">
        <is>
          <t>por noche / hab. doble</t>
        </is>
      </c>
      <c r="K14" s="2" t="inlineStr">
        <is>
          <t>964 00 01 20</t>
        </is>
      </c>
      <c r="L14" s="2" t="inlineStr">
        <is>
          <t>https://hosbec.com</t>
        </is>
      </c>
      <c r="M14" s="6" t="inlineStr">
        <is>
          <t>Cultura y pueblos, En familia, Junto al mar, Accesible</t>
        </is>
      </c>
      <c r="N14" s="6" t="inlineStr">
        <is>
          <t>El Grau contado por quien lo vivió</t>
        </is>
      </c>
    </row>
    <row r="15">
      <c r="A15" s="2" t="inlineStr">
        <is>
          <t>Hostal Muralla de Morella</t>
        </is>
      </c>
      <c r="B15" s="2" t="inlineStr">
        <is>
          <t>Hostal</t>
        </is>
      </c>
      <c r="C15" s="2" t="n">
        <v>2</v>
      </c>
      <c r="D15" s="2" t="inlineStr">
        <is>
          <t>Morella</t>
        </is>
      </c>
      <c r="E15" s="2" t="inlineStr">
        <is>
          <t>Castelló</t>
        </is>
      </c>
      <c r="F15" s="3" t="n">
        <v>8</v>
      </c>
      <c r="G15" s="4" t="n">
        <v>54</v>
      </c>
      <c r="H15" s="4" t="n">
        <v>85</v>
      </c>
      <c r="I15" s="5" t="n">
        <v>36</v>
      </c>
      <c r="J15" s="2" t="inlineStr">
        <is>
          <t>por noche / hab. doble</t>
        </is>
      </c>
      <c r="K15" s="2" t="inlineStr">
        <is>
          <t>964 00 01 18</t>
        </is>
      </c>
      <c r="L15" s="2" t="inlineStr">
        <is>
          <t>https://hosbec.com</t>
        </is>
      </c>
      <c r="M15" s="6" t="inlineStr">
        <is>
          <t>Cultura y pueblos, Gastronomía, Sostenible</t>
        </is>
      </c>
      <c r="N15" s="6" t="inlineStr">
        <is>
          <t>Invierno en Els Ports</t>
        </is>
      </c>
    </row>
    <row r="16">
      <c r="A16" s="2" t="inlineStr">
        <is>
          <t>Hotel Papa Luna Peníscola</t>
        </is>
      </c>
      <c r="B16" s="2" t="inlineStr">
        <is>
          <t>Hotel</t>
        </is>
      </c>
      <c r="C16" s="2" t="n">
        <v>4</v>
      </c>
      <c r="D16" s="2" t="inlineStr">
        <is>
          <t>Peñíscola</t>
        </is>
      </c>
      <c r="E16" s="2" t="inlineStr">
        <is>
          <t>Castelló</t>
        </is>
      </c>
      <c r="F16" s="3" t="n">
        <v>50</v>
      </c>
      <c r="G16" s="4" t="n">
        <v>79</v>
      </c>
      <c r="H16" s="4" t="n">
        <v>135</v>
      </c>
      <c r="I16" s="5" t="n">
        <v>41</v>
      </c>
      <c r="J16" s="2" t="inlineStr">
        <is>
          <t>por noche / hab. doble</t>
        </is>
      </c>
      <c r="K16" s="2" t="inlineStr">
        <is>
          <t>964 00 01 16</t>
        </is>
      </c>
      <c r="L16" s="2" t="inlineStr">
        <is>
          <t>https://hosbec.com</t>
        </is>
      </c>
      <c r="M16" s="6" t="inlineStr">
        <is>
          <t>Cultura y pueblos, Gastronomía, En familia, Junto al mar</t>
        </is>
      </c>
      <c r="N16" s="6" t="inlineStr">
        <is>
          <t>El Papa Luna, para ti solo</t>
        </is>
      </c>
    </row>
    <row r="17">
      <c r="A17" s="2" t="inlineStr">
        <is>
          <t>Apartamentos Far de Cullera</t>
        </is>
      </c>
      <c r="B17" s="2" t="inlineStr">
        <is>
          <t>Apartamentos</t>
        </is>
      </c>
      <c r="C17" s="2" t="n">
        <v>3</v>
      </c>
      <c r="D17" s="2" t="inlineStr">
        <is>
          <t>Cullera</t>
        </is>
      </c>
      <c r="E17" s="2" t="inlineStr">
        <is>
          <t>València</t>
        </is>
      </c>
      <c r="F17" s="3" t="n">
        <v>14</v>
      </c>
      <c r="G17" s="4" t="n">
        <v>68</v>
      </c>
      <c r="H17" s="4" t="n">
        <v>110</v>
      </c>
      <c r="I17" s="5" t="n">
        <v>38</v>
      </c>
      <c r="J17" s="2" t="inlineStr">
        <is>
          <t>por noche / hasta 4 personas</t>
        </is>
      </c>
      <c r="K17" s="2" t="inlineStr">
        <is>
          <t>962 00 01 13</t>
        </is>
      </c>
      <c r="L17" s="2" t="inlineStr">
        <is>
          <t>https://hosbec.com</t>
        </is>
      </c>
      <c r="M17" s="6" t="inlineStr">
        <is>
          <t>Gastronomía, En familia, Junto al mar, Cultura y pueblos</t>
        </is>
      </c>
      <c r="N17" s="6" t="inlineStr">
        <is>
          <t>Río, arroz y faro</t>
        </is>
      </c>
    </row>
    <row r="18">
      <c r="A18" s="2" t="inlineStr">
        <is>
          <t>Hotel Platja de Gandia</t>
        </is>
      </c>
      <c r="B18" s="2" t="inlineStr">
        <is>
          <t>Hotel</t>
        </is>
      </c>
      <c r="C18" s="2" t="n">
        <v>4</v>
      </c>
      <c r="D18" s="2" t="inlineStr">
        <is>
          <t>Gandia</t>
        </is>
      </c>
      <c r="E18" s="2" t="inlineStr">
        <is>
          <t>València</t>
        </is>
      </c>
      <c r="F18" s="3" t="n">
        <v>60</v>
      </c>
      <c r="G18" s="4" t="n">
        <v>74</v>
      </c>
      <c r="H18" s="4" t="n">
        <v>128</v>
      </c>
      <c r="I18" s="5" t="n">
        <v>42</v>
      </c>
      <c r="J18" s="2" t="inlineStr">
        <is>
          <t>por noche / hab. doble</t>
        </is>
      </c>
      <c r="K18" s="2" t="inlineStr">
        <is>
          <t>962 00 01 11</t>
        </is>
      </c>
      <c r="L18" s="2" t="inlineStr">
        <is>
          <t>https://hosbec.com</t>
        </is>
      </c>
      <c r="M18" s="6" t="inlineStr">
        <is>
          <t>Junto al mar, Gastronomía, En familia, Bienestar</t>
        </is>
      </c>
      <c r="N18" s="6" t="inlineStr">
        <is>
          <t>Playa vacía + fideuà de puerto</t>
        </is>
      </c>
    </row>
    <row r="19">
      <c r="A19" s="2" t="inlineStr">
        <is>
          <t>Hotel Marjal d'Oliva</t>
        </is>
      </c>
      <c r="B19" s="2" t="inlineStr">
        <is>
          <t>Hotel</t>
        </is>
      </c>
      <c r="C19" s="2" t="n">
        <v>4</v>
      </c>
      <c r="D19" s="2" t="inlineStr">
        <is>
          <t>Oliva</t>
        </is>
      </c>
      <c r="E19" s="2" t="inlineStr">
        <is>
          <t>València</t>
        </is>
      </c>
      <c r="F19" s="3" t="n">
        <v>28</v>
      </c>
      <c r="G19" s="4" t="n">
        <v>88</v>
      </c>
      <c r="H19" s="4" t="n">
        <v>142</v>
      </c>
      <c r="I19" s="5" t="n">
        <v>38</v>
      </c>
      <c r="J19" s="2" t="inlineStr">
        <is>
          <t>por noche / hab. doble</t>
        </is>
      </c>
      <c r="K19" s="2" t="inlineStr">
        <is>
          <t>962 00 01 14</t>
        </is>
      </c>
      <c r="L19" s="2" t="inlineStr">
        <is>
          <t>https://hosbec.com</t>
        </is>
      </c>
      <c r="M19" s="6" t="inlineStr">
        <is>
          <t>Sostenible, Naturaleza y deporte, En familia, Gastronomía</t>
        </is>
      </c>
      <c r="N19" s="6" t="inlineStr">
        <is>
          <t>Kayak entre cañas</t>
        </is>
      </c>
    </row>
    <row r="20">
      <c r="A20" s="2" t="inlineStr">
        <is>
          <t>Bodega Hotel Requena</t>
        </is>
      </c>
      <c r="B20" s="2" t="inlineStr">
        <is>
          <t>Casa rural</t>
        </is>
      </c>
      <c r="C20" s="2" t="n">
        <v>4</v>
      </c>
      <c r="D20" s="2" t="inlineStr">
        <is>
          <t>Requena</t>
        </is>
      </c>
      <c r="E20" s="2" t="inlineStr">
        <is>
          <t>València</t>
        </is>
      </c>
      <c r="F20" s="3" t="n">
        <v>10</v>
      </c>
      <c r="G20" s="4" t="n">
        <v>105</v>
      </c>
      <c r="H20" s="4" t="n">
        <v>175</v>
      </c>
      <c r="I20" s="5" t="n">
        <v>40</v>
      </c>
      <c r="J20" s="2" t="inlineStr">
        <is>
          <t>por noche / hab. doble</t>
        </is>
      </c>
      <c r="K20" s="2" t="inlineStr">
        <is>
          <t>962 00 01 15</t>
        </is>
      </c>
      <c r="L20" s="2" t="inlineStr">
        <is>
          <t>https://hosbec.com</t>
        </is>
      </c>
      <c r="M20" s="6" t="inlineStr">
        <is>
          <t>Gastronomía, Cultura y pueblos, En pareja, Sostenible</t>
        </is>
      </c>
      <c r="N20" s="6" t="inlineStr">
        <is>
          <t>Dormir sobre las cuevas</t>
        </is>
      </c>
    </row>
    <row r="21">
      <c r="A21" s="2" t="inlineStr">
        <is>
          <t>Hotel Ciutat Vella</t>
        </is>
      </c>
      <c r="B21" s="2" t="inlineStr">
        <is>
          <t>Hotel</t>
        </is>
      </c>
      <c r="C21" s="2" t="n">
        <v>4</v>
      </c>
      <c r="D21" s="2" t="inlineStr">
        <is>
          <t>València</t>
        </is>
      </c>
      <c r="E21" s="2" t="inlineStr">
        <is>
          <t>València</t>
        </is>
      </c>
      <c r="F21" s="3" t="n">
        <v>16</v>
      </c>
      <c r="G21" s="4" t="n">
        <v>118</v>
      </c>
      <c r="H21" s="4" t="n">
        <v>195</v>
      </c>
      <c r="I21" s="5" t="n">
        <v>39</v>
      </c>
      <c r="J21" s="2" t="inlineStr">
        <is>
          <t>por noche / hab. doble</t>
        </is>
      </c>
      <c r="K21" s="2" t="inlineStr">
        <is>
          <t>963 00 01 12</t>
        </is>
      </c>
      <c r="L21" s="2" t="inlineStr">
        <is>
          <t>https://hosbec.com</t>
        </is>
      </c>
      <c r="M21" s="6" t="inlineStr">
        <is>
          <t>Cultura y pueblos, Gastronomía, De noche, En pareja</t>
        </is>
      </c>
      <c r="N21" s="6" t="inlineStr">
        <is>
          <t>Noche modernista</t>
        </is>
      </c>
    </row>
    <row r="23">
      <c r="A23" s="7" t="inlineStr">
        <is>
          <t>TOTALES</t>
        </is>
      </c>
      <c r="E23" s="7" t="inlineStr">
        <is>
          <t>Alojamientos:</t>
        </is>
      </c>
      <c r="F23" s="7">
        <f>COUNTA(A2:A21)</f>
        <v/>
      </c>
    </row>
    <row r="24">
      <c r="E24" s="7" t="inlineStr">
        <is>
          <t>Plazas:</t>
        </is>
      </c>
      <c r="F24" s="8">
        <f>SUM(F2:F21)</f>
        <v/>
      </c>
    </row>
    <row r="25">
      <c r="E25" s="7" t="inlineStr">
        <is>
          <t>Dto. medio:</t>
        </is>
      </c>
      <c r="F25" s="9">
        <f>IFERROR(ROUND(AVERAGE(I2:I21),0),0)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</cols>
  <sheetData>
    <row r="1">
      <c r="A1" s="10" t="inlineStr">
        <is>
          <t>Provincia</t>
        </is>
      </c>
      <c r="B1" s="10" t="inlineStr">
        <is>
          <t>Alojamientos</t>
        </is>
      </c>
      <c r="C1" s="10" t="inlineStr">
        <is>
          <t>Plazas comprometidas</t>
        </is>
      </c>
    </row>
    <row r="2">
      <c r="A2" s="11" t="inlineStr">
        <is>
          <t>Castelló</t>
        </is>
      </c>
      <c r="B2" s="11">
        <f>COUNTIF(Alojamientos!E:E,A2)</f>
        <v/>
      </c>
      <c r="C2" s="11">
        <f>SUMIF(Alojamientos!E:E,A2,Alojamientos!F:F)</f>
        <v/>
      </c>
    </row>
    <row r="3">
      <c r="A3" s="11" t="inlineStr">
        <is>
          <t>València</t>
        </is>
      </c>
      <c r="B3" s="11">
        <f>COUNTIF(Alojamientos!E:E,A3)</f>
        <v/>
      </c>
      <c r="C3" s="11">
        <f>SUMIF(Alojamientos!E:E,A3,Alojamientos!F:F)</f>
        <v/>
      </c>
    </row>
    <row r="4">
      <c r="A4" s="11" t="inlineStr">
        <is>
          <t>Alicante</t>
        </is>
      </c>
      <c r="B4" s="11">
        <f>COUNTIF(Alojamientos!E:E,A4)</f>
        <v/>
      </c>
      <c r="C4" s="11">
        <f>SUMIF(Alojamientos!E:E,A4,Alojamientos!F:F)</f>
        <v/>
      </c>
    </row>
    <row r="5">
      <c r="A5" s="7" t="inlineStr">
        <is>
          <t>Total</t>
        </is>
      </c>
      <c r="B5" s="7">
        <f>SUM(B2:B4)</f>
        <v/>
      </c>
      <c r="C5" s="7">
        <f>SUM(C2:C4)</f>
        <v/>
      </c>
    </row>
    <row r="7">
      <c r="A7" s="12" t="inlineStr">
        <is>
          <t>Fuente: assets/js/data-alojamientos.js del sitio de la Km0 Week. Generado el 18/08/2026.</t>
        </is>
      </c>
    </row>
    <row r="8">
      <c r="A8" s="12" t="inlineStr">
        <is>
          <t>El cupo es el número de plazas que cada alojamiento compromete públicamente para residentes.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2026-08-19T08:20:34Z</dcterms:created>
  <dcterms:modified xmlns:dcterms="http://purl.org/dc/terms/" xmlns:xsi="http://www.w3.org/2001/XMLSchema-instance" xsi:type="dcterms:W3CDTF">2026-08-19T08:20:34Z</dcterms:modified>
</cp:coreProperties>
</file>